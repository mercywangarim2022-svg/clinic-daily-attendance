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Data analysis\"/>
    </mc:Choice>
  </mc:AlternateContent>
  <xr:revisionPtr revIDLastSave="0" documentId="8_{83AE355F-2D5A-430E-A77E-25E0EB1E1CF6}" xr6:coauthVersionLast="47" xr6:coauthVersionMax="47" xr10:uidLastSave="{00000000-0000-0000-0000-000000000000}"/>
  <bookViews>
    <workbookView xWindow="-110" yWindow="-110" windowWidth="19420" windowHeight="10420" activeTab="1" xr2:uid="{3CCDBEBB-91EE-4183-9DD3-74621AA557D8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<sst xmlns="http://schemas.openxmlformats.org/spreadsheetml/2006/main" count="103" uniqueCount="58">
  <si>
    <t>Date</t>
  </si>
  <si>
    <t>PatientID</t>
  </si>
  <si>
    <t>Age</t>
  </si>
  <si>
    <t>Service</t>
  </si>
  <si>
    <t>Notes</t>
  </si>
  <si>
    <t>Age group</t>
  </si>
  <si>
    <t>P00001</t>
  </si>
  <si>
    <t>Immunization</t>
  </si>
  <si>
    <t>P00002</t>
  </si>
  <si>
    <t>General</t>
  </si>
  <si>
    <t>Fever</t>
  </si>
  <si>
    <t>P00003</t>
  </si>
  <si>
    <t>Hypertention</t>
  </si>
  <si>
    <t>p00004</t>
  </si>
  <si>
    <t>p00005</t>
  </si>
  <si>
    <t>Family planning</t>
  </si>
  <si>
    <t>P00006</t>
  </si>
  <si>
    <t>P00007</t>
  </si>
  <si>
    <t>ANC</t>
  </si>
  <si>
    <t>First time</t>
  </si>
  <si>
    <t>P00008</t>
  </si>
  <si>
    <t>Flu</t>
  </si>
  <si>
    <t>P00009</t>
  </si>
  <si>
    <t>UTIS</t>
  </si>
  <si>
    <t>P00010</t>
  </si>
  <si>
    <t>P00011</t>
  </si>
  <si>
    <t>P00012</t>
  </si>
  <si>
    <t>Skin rashes</t>
  </si>
  <si>
    <t>P00013</t>
  </si>
  <si>
    <t>Diabetes</t>
  </si>
  <si>
    <t>P00014</t>
  </si>
  <si>
    <t>P00015</t>
  </si>
  <si>
    <t>P00016</t>
  </si>
  <si>
    <t>P00017</t>
  </si>
  <si>
    <t>Wound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</si>
  <si>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</si>
  <si>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</si>
  <si>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</si>
  <si>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</si>
  <si>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</si>
  <si>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</si>
  <si>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</si>
  <si>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</si>
  <si>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</si>
  <si>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</si>
  <si>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</si>
  <si>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</si>
  <si>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</si>
  <si>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</si>
  <si>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Colds</t>
  </si>
  <si>
    <t>Row Labels</t>
  </si>
  <si>
    <t>0-5</t>
  </si>
  <si>
    <t>18-64</t>
  </si>
  <si>
    <t>6-17</t>
  </si>
  <si>
    <t>65+</t>
  </si>
  <si>
    <t>Grand Total</t>
  </si>
  <si>
    <t>Column Labels</t>
  </si>
  <si>
    <t>Count of 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</si>
</sst>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 Attendance by Agegroup &amp; Service project.xlsx]Sheet2!PivotTable4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Clinic Visits by Age group &amp;Service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0-5</c:v>
                </c:pt>
                <c:pt idx="1">
                  <c:v>18-64</c:v>
                </c:pt>
                <c:pt idx="2">
                  <c:v>6-17</c:v>
                </c:pt>
                <c:pt idx="3">
                  <c:v>65+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3-481B-A2DB-C53D9D9FDDF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Family planning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0-5</c:v>
                </c:pt>
                <c:pt idx="1">
                  <c:v>18-64</c:v>
                </c:pt>
                <c:pt idx="2">
                  <c:v>6-17</c:v>
                </c:pt>
                <c:pt idx="3">
                  <c:v>65+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3-481B-A2DB-C53D9D9FDDFE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0-5</c:v>
                </c:pt>
                <c:pt idx="1">
                  <c:v>18-64</c:v>
                </c:pt>
                <c:pt idx="2">
                  <c:v>6-17</c:v>
                </c:pt>
                <c:pt idx="3">
                  <c:v>65+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D3-481B-A2DB-C53D9D9FDDFE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Immunization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0-5</c:v>
                </c:pt>
                <c:pt idx="1">
                  <c:v>18-64</c:v>
                </c:pt>
                <c:pt idx="2">
                  <c:v>6-17</c:v>
                </c:pt>
                <c:pt idx="3">
                  <c:v>65+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D3-481B-A2DB-C53D9D9F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6077824"/>
        <c:axId val="516071344"/>
      </c:barChart>
      <c:catAx>
        <c:axId val="5160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71344"/>
        <c:crosses val="autoZero"/>
        <c:auto val="1"/>
        <c:lblAlgn val="ctr"/>
        <c:lblOffset val="100"/>
        <c:noMultiLvlLbl val="0"/>
      </c:catAx>
      <c:valAx>
        <c:axId val="5160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7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120650</xdr:rowOff>
    </xdr:from>
    <xdr:to>
      <xdr:col>13</xdr:col>
      <xdr:colOff>231775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628CE-9C62-C57E-EDAB-58E97E4A9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5980.877106597225" createdVersion="8" refreshedVersion="8" minRefreshableVersion="3" recordCount="32" xr:uid="{14203222-AC5F-4650-8F35-CDF59D980854}">
  <cacheSource type="worksheet">
    <worksheetSource ref="A1:F33" sheet="Sheet1"/>
  </cacheSource>
  <cacheFields count="6">
    <cacheField name="Date" numFmtId="0">
      <sharedItems containsSemiMixedTypes="0" containsNonDate="0" containsDate="1" containsString="0" minDate="2025-11-01T00:00:00" maxDate="2025-11-04T00:00:00"/>
    </cacheField>
    <cacheField name="PatientID" numFmtId="0">
      <sharedItems/>
    </cacheField>
    <cacheField name="Age" numFmtId="0">
      <sharedItems containsSemiMixedTypes="0" containsString="0" containsNumber="1" containsInteger="1" minValue="1" maxValue="76"/>
    </cacheField>
    <cacheField name="Service" numFmtId="0">
      <sharedItems count="4">
        <s v="Immunization"/>
        <s v="General"/>
        <s v="Family planning"/>
        <s v="ANC"/>
      </sharedItems>
    </cacheField>
    <cacheField name="Notes" numFmtId="0">
      <sharedItems containsBlank="1"/>
    </cacheField>
    <cacheField name="Age group" numFmtId="0">
      <sharedItems count="4">
        <s v="0-5"/>
        <s v="18-64"/>
        <s v="65+"/>
        <s v="6-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5-11-01T00:00:00"/>
    <s v="P00001"/>
    <n v="1"/>
    <x v="0"/>
    <m/>
    <x v="0"/>
  </r>
  <r>
    <d v="2025-11-01T00:00:00"/>
    <s v="P00002"/>
    <n v="19"/>
    <x v="1"/>
    <s v="Fever"/>
    <x v="1"/>
  </r>
  <r>
    <d v="2025-11-01T00:00:00"/>
    <s v="P00003"/>
    <n v="70"/>
    <x v="1"/>
    <s v="Hypertention"/>
    <x v="2"/>
  </r>
  <r>
    <d v="2025-11-01T00:00:00"/>
    <s v="p00004"/>
    <n v="59"/>
    <x v="1"/>
    <s v="Hypertention"/>
    <x v="1"/>
  </r>
  <r>
    <d v="2025-11-01T00:00:00"/>
    <s v="p00005"/>
    <n v="21"/>
    <x v="2"/>
    <m/>
    <x v="1"/>
  </r>
  <r>
    <d v="2025-11-01T00:00:00"/>
    <s v="P00006"/>
    <n v="3"/>
    <x v="0"/>
    <m/>
    <x v="0"/>
  </r>
  <r>
    <d v="2025-11-01T00:00:00"/>
    <s v="P00007"/>
    <n v="28"/>
    <x v="3"/>
    <s v="First time"/>
    <x v="1"/>
  </r>
  <r>
    <d v="2025-11-01T00:00:00"/>
    <s v="P00008"/>
    <n v="68"/>
    <x v="1"/>
    <s v="Flu"/>
    <x v="2"/>
  </r>
  <r>
    <d v="2025-11-01T00:00:00"/>
    <s v="P00009"/>
    <n v="31"/>
    <x v="1"/>
    <s v="UTIS"/>
    <x v="1"/>
  </r>
  <r>
    <d v="2025-11-01T00:00:00"/>
    <s v="P00010"/>
    <n v="2"/>
    <x v="0"/>
    <m/>
    <x v="0"/>
  </r>
  <r>
    <d v="2025-11-01T00:00:00"/>
    <s v="P00011"/>
    <n v="25"/>
    <x v="3"/>
    <m/>
    <x v="1"/>
  </r>
  <r>
    <d v="2025-11-01T00:00:00"/>
    <s v="P00012"/>
    <n v="36"/>
    <x v="1"/>
    <s v="Skin rashes"/>
    <x v="1"/>
  </r>
  <r>
    <d v="2025-11-01T00:00:00"/>
    <s v="P00013"/>
    <n v="60"/>
    <x v="1"/>
    <s v="Diabetes"/>
    <x v="1"/>
  </r>
  <r>
    <d v="2025-11-01T00:00:00"/>
    <s v="P00014"/>
    <n v="24"/>
    <x v="2"/>
    <m/>
    <x v="1"/>
  </r>
  <r>
    <d v="2025-11-01T00:00:00"/>
    <s v="P00015"/>
    <n v="62"/>
    <x v="1"/>
    <s v="Diabetes"/>
    <x v="1"/>
  </r>
  <r>
    <d v="2025-11-02T00:00:00"/>
    <s v="P00016"/>
    <n v="1"/>
    <x v="0"/>
    <m/>
    <x v="0"/>
  </r>
  <r>
    <d v="2025-11-02T00:00:00"/>
    <s v="P00017"/>
    <n v="22"/>
    <x v="1"/>
    <s v="Wound"/>
    <x v="1"/>
  </r>
  <r>
    <d v="2025-11-02T00:00:00"/>
    <s v="p00018"/>
    <n v="30"/>
    <x v="2"/>
    <m/>
    <x v="1"/>
  </r>
  <r>
    <d v="2025-11-02T00:00:00"/>
    <s v="P00019"/>
    <n v="26"/>
    <x v="3"/>
    <s v="First time"/>
    <x v="1"/>
  </r>
  <r>
    <d v="2025-11-02T00:00:00"/>
    <s v="P00020"/>
    <n v="3"/>
    <x v="0"/>
    <m/>
    <x v="0"/>
  </r>
  <r>
    <d v="2025-11-02T00:00:00"/>
    <s v="P00021"/>
    <n v="58"/>
    <x v="1"/>
    <s v="Hypertention"/>
    <x v="1"/>
  </r>
  <r>
    <d v="2025-11-02T00:00:00"/>
    <s v="P00022"/>
    <n v="72"/>
    <x v="1"/>
    <s v="Diabetes"/>
    <x v="2"/>
  </r>
  <r>
    <d v="2025-11-02T00:00:00"/>
    <s v="P00023"/>
    <n v="16"/>
    <x v="1"/>
    <s v="Skin rashes"/>
    <x v="3"/>
  </r>
  <r>
    <d v="2025-11-02T00:00:00"/>
    <s v="P00024"/>
    <n v="9"/>
    <x v="1"/>
    <s v="Flu"/>
    <x v="3"/>
  </r>
  <r>
    <d v="2025-11-02T00:00:00"/>
    <s v="P00025"/>
    <n v="55"/>
    <x v="1"/>
    <s v="Hypertention"/>
    <x v="1"/>
  </r>
  <r>
    <d v="2025-11-02T00:00:00"/>
    <s v="P00025"/>
    <n v="19"/>
    <x v="2"/>
    <m/>
    <x v="1"/>
  </r>
  <r>
    <d v="2025-11-03T00:00:00"/>
    <s v="P00026"/>
    <n v="1"/>
    <x v="0"/>
    <m/>
    <x v="0"/>
  </r>
  <r>
    <d v="2025-11-03T00:00:00"/>
    <s v="P00027"/>
    <n v="74"/>
    <x v="1"/>
    <s v="Hypertention"/>
    <x v="2"/>
  </r>
  <r>
    <d v="2025-11-03T00:00:00"/>
    <s v="P00028"/>
    <n v="28"/>
    <x v="3"/>
    <m/>
    <x v="1"/>
  </r>
  <r>
    <d v="2025-11-03T00:00:00"/>
    <s v="P00029"/>
    <n v="22"/>
    <x v="1"/>
    <s v="UTIS"/>
    <x v="1"/>
  </r>
  <r>
    <d v="2025-11-03T00:00:00"/>
    <s v="P00030"/>
    <n v="76"/>
    <x v="1"/>
    <s v="Diabetes"/>
    <x v="2"/>
  </r>
  <r>
    <d v="2025-11-03T00:00:00"/>
    <s v="P00031"/>
    <n v="3"/>
    <x v="1"/>
    <s v="Cold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CD1CD-363C-4CE2-A6F3-694C8A9120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9" firstHeaderRow="1" firstDataRow="2" firstDataCol="1"/>
  <pivotFields count="6">
    <pivotField showAll="0"/>
    <pivotField dataField="1"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ID" fld="1" subtotal="count" baseField="0" baseItem="0"/>
  </dataFields>
  <chartFormats count="8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DBB23-2972-473E-B3E6-9E1C52B00815}" name="Table1" displayName="Table1" ref="A1:F33" totalsRowShown="0">
  <autoFilter ref="A1:F33" xr:uid="{3E0DBB23-2972-473E-B3E6-9E1C52B00815}"/>
  <tableColumns count="6">
    <tableColumn id="1" xr3:uid="{F0139437-B45C-442B-967A-55BA8BB9748F}" name="Date" dataDxfId="0"/>
    <tableColumn id="2" xr3:uid="{0D24C1A9-3F70-4DF8-AB48-4C291DD3BFA4}" name="PatientID"/>
    <tableColumn id="3" xr3:uid="{ECF16431-7F30-4557-A488-F66D5319E49E}" name="Age"/>
    <tableColumn id="4" xr3:uid="{C9EEEF11-1413-4225-9C83-9298A4C60CEF}" name="Service"/>
    <tableColumn id="5" xr3:uid="{1769FDEB-EEB0-4615-BA66-6B4BDC0D4415}" name="Notes"/>
    <tableColumn id="6" xr3:uid="{60A17530-0455-412F-9B00-D44C06EA044F}" name="Age group">
      <calculatedColumnFormula>IF(C2="","",IF(C2&lt;=5,"0-5",IF(C2&lt;=17,"6-17",IF(C2&lt;=64,"18-64","65+"))))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11D0-E166-4CE3-A063-5EAA9D82804F}">
  <dimension ref="A3:F9"/>
  <sheetViews>
    <sheetView topLeftCell="C11" workbookViewId="0">
      <selection activeCell="N7" sqref="N7"/>
    </sheetView>
  </sheetViews>
  <sheetFormatPr defaultRowHeight="14.5" x14ac:dyDescent="0.35"/>
  <cols>
    <col min="1" max="1" width="16.1796875" bestFit="1" customWidth="1"/>
    <col min="2" max="2" width="15.6328125" bestFit="1" customWidth="1"/>
    <col min="3" max="3" width="14.26953125" bestFit="1" customWidth="1"/>
    <col min="4" max="4" width="7.36328125" bestFit="1" customWidth="1"/>
    <col min="5" max="5" width="12.453125" bestFit="1" customWidth="1"/>
    <col min="6" max="6" width="10.36328125" bestFit="1" customWidth="1"/>
  </cols>
  <sheetData>
    <row r="3" spans="1:6" x14ac:dyDescent="0.35">
      <c r="A3" s="3" t="s">
        <v>57</v>
      </c>
      <c r="B3" s="3" t="s">
        <v>56</v>
      </c>
    </row>
    <row r="4" spans="1:6" x14ac:dyDescent="0.35">
      <c r="A4" s="3" t="s">
        <v>50</v>
      </c>
      <c r="B4" t="s">
        <v>18</v>
      </c>
      <c r="C4" t="s">
        <v>15</v>
      </c>
      <c r="D4" t="s">
        <v>9</v>
      </c>
      <c r="E4" t="s">
        <v>7</v>
      </c>
      <c r="F4" t="s">
        <v>55</v>
      </c>
    </row>
    <row r="5" spans="1:6" x14ac:dyDescent="0.35">
      <c r="A5" s="4" t="s">
        <v>51</v>
      </c>
      <c r="D5">
        <v>1</v>
      </c>
      <c r="E5">
        <v>6</v>
      </c>
      <c r="F5">
        <v>7</v>
      </c>
    </row>
    <row r="6" spans="1:6" x14ac:dyDescent="0.35">
      <c r="A6" s="4" t="s">
        <v>52</v>
      </c>
      <c r="B6">
        <v>4</v>
      </c>
      <c r="C6">
        <v>4</v>
      </c>
      <c r="D6">
        <v>10</v>
      </c>
      <c r="F6">
        <v>18</v>
      </c>
    </row>
    <row r="7" spans="1:6" x14ac:dyDescent="0.35">
      <c r="A7" s="4" t="s">
        <v>53</v>
      </c>
      <c r="D7">
        <v>2</v>
      </c>
      <c r="F7">
        <v>2</v>
      </c>
    </row>
    <row r="8" spans="1:6" x14ac:dyDescent="0.35">
      <c r="A8" s="4" t="s">
        <v>54</v>
      </c>
      <c r="D8">
        <v>5</v>
      </c>
      <c r="F8">
        <v>5</v>
      </c>
    </row>
    <row r="9" spans="1:6" x14ac:dyDescent="0.35">
      <c r="A9" s="4" t="s">
        <v>55</v>
      </c>
      <c r="B9">
        <v>4</v>
      </c>
      <c r="C9">
        <v>4</v>
      </c>
      <c r="D9">
        <v>18</v>
      </c>
      <c r="E9">
        <v>6</v>
      </c>
      <c r="F9">
        <v>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F6F8-3954-402C-9DA3-8E801B23F640}">
  <dimension ref="A1:F33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15.63281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45962</v>
      </c>
      <c r="B2" t="s">
        <v>6</v>
      </c>
      <c r="C2">
        <v>1</v>
      </c>
      <c r="D2" t="s">
        <v>7</v>
      </c>
      <c r="F2" t="str">
        <f>IF(C2="","",IF(C2&lt;=5,"0-5",IF(C2&lt;=17,"6-17",IF(C2&lt;=64,"18-64","65+"))))</f>
        <v>0-5</v>
      </c>
    </row>
    <row r="3" spans="1:6" x14ac:dyDescent="0.35">
      <c r="A3" s="1">
        <v>45962</v>
      </c>
      <c r="B3" t="s">
        <v>8</v>
      </c>
      <c r="C3">
        <v>19</v>
      </c>
      <c r="D3" t="s">
        <v>9</v>
      </c>
      <c r="E3" t="s">
        <v>10</v>
      </c>
      <c r="F3" t="str">
        <f t="shared" ref="F3:F33" si="0">IF(C3="","",IF(C3&lt;=5,"0-5",IF(C3&lt;=17,"6-17",IF(C3&lt;=64,"18-64","65+"))))</f>
        <v>18-64</v>
      </c>
    </row>
    <row r="4" spans="1:6" x14ac:dyDescent="0.35">
      <c r="A4" s="1">
        <v>45962</v>
      </c>
      <c r="B4" t="s">
        <v>11</v>
      </c>
      <c r="C4">
        <v>70</v>
      </c>
      <c r="D4" t="s">
        <v>9</v>
      </c>
      <c r="E4" t="s">
        <v>12</v>
      </c>
      <c r="F4" t="str">
        <f t="shared" si="0"/>
        <v>65+</v>
      </c>
    </row>
    <row r="5" spans="1:6" x14ac:dyDescent="0.35">
      <c r="A5" s="1">
        <v>45962</v>
      </c>
      <c r="B5" t="s">
        <v>13</v>
      </c>
      <c r="C5">
        <v>59</v>
      </c>
      <c r="D5" t="s">
        <v>9</v>
      </c>
      <c r="E5" t="s">
        <v>12</v>
      </c>
      <c r="F5" t="str">
        <f t="shared" si="0"/>
        <v>18-64</v>
      </c>
    </row>
    <row r="6" spans="1:6" x14ac:dyDescent="0.35">
      <c r="A6" s="1">
        <v>45962</v>
      </c>
      <c r="B6" t="s">
        <v>14</v>
      </c>
      <c r="C6">
        <v>21</v>
      </c>
      <c r="D6" t="s">
        <v>15</v>
      </c>
      <c r="F6" t="str">
        <f t="shared" si="0"/>
        <v>18-64</v>
      </c>
    </row>
    <row r="7" spans="1:6" x14ac:dyDescent="0.35">
      <c r="A7" s="1">
        <v>45962</v>
      </c>
      <c r="B7" t="s">
        <v>16</v>
      </c>
      <c r="C7">
        <v>3</v>
      </c>
      <c r="D7" t="s">
        <v>7</v>
      </c>
      <c r="F7" t="str">
        <f t="shared" si="0"/>
        <v>0-5</v>
      </c>
    </row>
    <row r="8" spans="1:6" x14ac:dyDescent="0.35">
      <c r="A8" s="1">
        <v>45962</v>
      </c>
      <c r="B8" t="s">
        <v>17</v>
      </c>
      <c r="C8">
        <v>28</v>
      </c>
      <c r="D8" t="s">
        <v>18</v>
      </c>
      <c r="E8" t="s">
        <v>19</v>
      </c>
      <c r="F8" t="str">
        <f t="shared" si="0"/>
        <v>18-64</v>
      </c>
    </row>
    <row r="9" spans="1:6" x14ac:dyDescent="0.35">
      <c r="A9" s="1">
        <v>45962</v>
      </c>
      <c r="B9" t="s">
        <v>20</v>
      </c>
      <c r="C9">
        <v>68</v>
      </c>
      <c r="D9" t="s">
        <v>9</v>
      </c>
      <c r="E9" t="s">
        <v>21</v>
      </c>
      <c r="F9" t="str">
        <f t="shared" si="0"/>
        <v>65+</v>
      </c>
    </row>
    <row r="10" spans="1:6" x14ac:dyDescent="0.35">
      <c r="A10" s="1">
        <v>45962</v>
      </c>
      <c r="B10" t="s">
        <v>22</v>
      </c>
      <c r="C10">
        <v>31</v>
      </c>
      <c r="D10" t="s">
        <v>9</v>
      </c>
      <c r="E10" t="s">
        <v>23</v>
      </c>
      <c r="F10" t="str">
        <f t="shared" si="0"/>
        <v>18-64</v>
      </c>
    </row>
    <row r="11" spans="1:6" x14ac:dyDescent="0.35">
      <c r="A11" s="1">
        <v>45962</v>
      </c>
      <c r="B11" t="s">
        <v>24</v>
      </c>
      <c r="C11">
        <v>2</v>
      </c>
      <c r="D11" t="s">
        <v>7</v>
      </c>
      <c r="F11" t="str">
        <f t="shared" si="0"/>
        <v>0-5</v>
      </c>
    </row>
    <row r="12" spans="1:6" x14ac:dyDescent="0.35">
      <c r="A12" s="1">
        <v>45962</v>
      </c>
      <c r="B12" t="s">
        <v>25</v>
      </c>
      <c r="C12">
        <v>25</v>
      </c>
      <c r="D12" t="s">
        <v>18</v>
      </c>
      <c r="F12" t="str">
        <f t="shared" si="0"/>
        <v>18-64</v>
      </c>
    </row>
    <row r="13" spans="1:6" x14ac:dyDescent="0.35">
      <c r="A13" s="1">
        <v>45962</v>
      </c>
      <c r="B13" t="s">
        <v>26</v>
      </c>
      <c r="C13">
        <v>36</v>
      </c>
      <c r="D13" t="s">
        <v>9</v>
      </c>
      <c r="E13" t="s">
        <v>27</v>
      </c>
      <c r="F13" t="str">
        <f t="shared" si="0"/>
        <v>18-64</v>
      </c>
    </row>
    <row r="14" spans="1:6" x14ac:dyDescent="0.35">
      <c r="A14" s="1">
        <v>45962</v>
      </c>
      <c r="B14" t="s">
        <v>28</v>
      </c>
      <c r="C14">
        <v>60</v>
      </c>
      <c r="D14" t="s">
        <v>9</v>
      </c>
      <c r="E14" t="s">
        <v>29</v>
      </c>
      <c r="F14" t="str">
        <f t="shared" si="0"/>
        <v>18-64</v>
      </c>
    </row>
    <row r="15" spans="1:6" x14ac:dyDescent="0.35">
      <c r="A15" s="1">
        <v>45962</v>
      </c>
      <c r="B15" t="s">
        <v>30</v>
      </c>
      <c r="C15">
        <v>24</v>
      </c>
      <c r="D15" t="s">
        <v>15</v>
      </c>
      <c r="F15" t="str">
        <f t="shared" si="0"/>
        <v>18-64</v>
      </c>
    </row>
    <row r="16" spans="1:6" x14ac:dyDescent="0.35">
      <c r="A16" s="1">
        <v>45962</v>
      </c>
      <c r="B16" t="s">
        <v>31</v>
      </c>
      <c r="C16">
        <v>62</v>
      </c>
      <c r="D16" t="s">
        <v>9</v>
      </c>
      <c r="E16" t="s">
        <v>29</v>
      </c>
      <c r="F16" t="str">
        <f t="shared" si="0"/>
        <v>18-64</v>
      </c>
    </row>
    <row r="17" spans="1:6" x14ac:dyDescent="0.35">
      <c r="A17" s="1">
        <v>45963</v>
      </c>
      <c r="B17" t="s">
        <v>32</v>
      </c>
      <c r="C17">
        <v>1</v>
      </c>
      <c r="D17" t="s">
        <v>7</v>
      </c>
      <c r="F17" t="str">
        <f t="shared" si="0"/>
        <v>0-5</v>
      </c>
    </row>
    <row r="18" spans="1:6" x14ac:dyDescent="0.35">
      <c r="A18" s="1">
        <v>45963</v>
      </c>
      <c r="B18" t="s">
        <v>33</v>
      </c>
      <c r="C18">
        <v>22</v>
      </c>
      <c r="D18" t="s">
        <v>9</v>
      </c>
      <c r="E18" t="s">
        <v>34</v>
      </c>
      <c r="F18" t="str">
        <f t="shared" si="0"/>
        <v>18-64</v>
      </c>
    </row>
    <row r="19" spans="1:6" x14ac:dyDescent="0.35">
      <c r="A19" s="1">
        <v>45963</v>
      </c>
      <c r="B19" t="s">
        <v>35</v>
      </c>
      <c r="C19">
        <v>30</v>
      </c>
      <c r="D19" t="s">
        <v>15</v>
      </c>
      <c r="F19" t="str">
        <f t="shared" si="0"/>
        <v>18-64</v>
      </c>
    </row>
    <row r="20" spans="1:6" x14ac:dyDescent="0.35">
      <c r="A20" s="1">
        <v>45963</v>
      </c>
      <c r="B20" t="s">
        <v>36</v>
      </c>
      <c r="C20">
        <v>26</v>
      </c>
      <c r="D20" t="s">
        <v>18</v>
      </c>
      <c r="E20" t="s">
        <v>19</v>
      </c>
      <c r="F20" t="str">
        <f t="shared" si="0"/>
        <v>18-64</v>
      </c>
    </row>
    <row r="21" spans="1:6" x14ac:dyDescent="0.35">
      <c r="A21" s="1">
        <v>45963</v>
      </c>
      <c r="B21" t="s">
        <v>37</v>
      </c>
      <c r="C21">
        <v>3</v>
      </c>
      <c r="D21" t="s">
        <v>7</v>
      </c>
      <c r="F21" t="str">
        <f t="shared" si="0"/>
        <v>0-5</v>
      </c>
    </row>
    <row r="22" spans="1:6" x14ac:dyDescent="0.35">
      <c r="A22" s="1">
        <v>45963</v>
      </c>
      <c r="B22" t="s">
        <v>38</v>
      </c>
      <c r="C22">
        <v>58</v>
      </c>
      <c r="D22" t="s">
        <v>9</v>
      </c>
      <c r="E22" t="s">
        <v>12</v>
      </c>
      <c r="F22" t="str">
        <f t="shared" si="0"/>
        <v>18-64</v>
      </c>
    </row>
    <row r="23" spans="1:6" x14ac:dyDescent="0.35">
      <c r="A23" s="1">
        <v>45963</v>
      </c>
      <c r="B23" t="s">
        <v>39</v>
      </c>
      <c r="C23">
        <v>72</v>
      </c>
      <c r="D23" t="s">
        <v>9</v>
      </c>
      <c r="E23" t="s">
        <v>29</v>
      </c>
      <c r="F23" t="str">
        <f t="shared" si="0"/>
        <v>65+</v>
      </c>
    </row>
    <row r="24" spans="1:6" x14ac:dyDescent="0.35">
      <c r="A24" s="1">
        <v>45963</v>
      </c>
      <c r="B24" t="s">
        <v>40</v>
      </c>
      <c r="C24">
        <v>16</v>
      </c>
      <c r="D24" t="s">
        <v>9</v>
      </c>
      <c r="E24" t="s">
        <v>27</v>
      </c>
      <c r="F24" t="str">
        <f t="shared" si="0"/>
        <v>6-17</v>
      </c>
    </row>
    <row r="25" spans="1:6" x14ac:dyDescent="0.35">
      <c r="A25" s="1">
        <v>45963</v>
      </c>
      <c r="B25" t="s">
        <v>41</v>
      </c>
      <c r="C25">
        <v>9</v>
      </c>
      <c r="D25" t="s">
        <v>9</v>
      </c>
      <c r="E25" t="s">
        <v>21</v>
      </c>
      <c r="F25" t="str">
        <f t="shared" si="0"/>
        <v>6-17</v>
      </c>
    </row>
    <row r="26" spans="1:6" x14ac:dyDescent="0.35">
      <c r="A26" s="1">
        <v>45963</v>
      </c>
      <c r="B26" t="s">
        <v>42</v>
      </c>
      <c r="C26">
        <v>55</v>
      </c>
      <c r="D26" t="s">
        <v>9</v>
      </c>
      <c r="E26" t="s">
        <v>12</v>
      </c>
      <c r="F26" t="str">
        <f t="shared" si="0"/>
        <v>18-64</v>
      </c>
    </row>
    <row r="27" spans="1:6" x14ac:dyDescent="0.35">
      <c r="A27" s="1">
        <v>45963</v>
      </c>
      <c r="B27" t="s">
        <v>42</v>
      </c>
      <c r="C27">
        <v>19</v>
      </c>
      <c r="D27" t="s">
        <v>15</v>
      </c>
      <c r="F27" t="str">
        <f t="shared" si="0"/>
        <v>18-64</v>
      </c>
    </row>
    <row r="28" spans="1:6" x14ac:dyDescent="0.35">
      <c r="A28" s="1">
        <v>45964</v>
      </c>
      <c r="B28" t="s">
        <v>43</v>
      </c>
      <c r="C28">
        <v>1</v>
      </c>
      <c r="D28" t="s">
        <v>7</v>
      </c>
      <c r="F28" t="str">
        <f t="shared" si="0"/>
        <v>0-5</v>
      </c>
    </row>
    <row r="29" spans="1:6" x14ac:dyDescent="0.35">
      <c r="A29" s="1">
        <v>45964</v>
      </c>
      <c r="B29" t="s">
        <v>44</v>
      </c>
      <c r="C29">
        <v>74</v>
      </c>
      <c r="D29" t="s">
        <v>9</v>
      </c>
      <c r="E29" t="s">
        <v>12</v>
      </c>
      <c r="F29" t="str">
        <f t="shared" si="0"/>
        <v>65+</v>
      </c>
    </row>
    <row r="30" spans="1:6" x14ac:dyDescent="0.35">
      <c r="A30" s="2">
        <v>45964</v>
      </c>
      <c r="B30" t="s">
        <v>45</v>
      </c>
      <c r="C30">
        <v>28</v>
      </c>
      <c r="D30" t="s">
        <v>18</v>
      </c>
      <c r="F30" t="str">
        <f t="shared" si="0"/>
        <v>18-64</v>
      </c>
    </row>
    <row r="31" spans="1:6" x14ac:dyDescent="0.35">
      <c r="A31" s="1">
        <v>45964</v>
      </c>
      <c r="B31" t="s">
        <v>46</v>
      </c>
      <c r="C31">
        <v>22</v>
      </c>
      <c r="D31" t="s">
        <v>9</v>
      </c>
      <c r="E31" t="s">
        <v>23</v>
      </c>
      <c r="F31" t="str">
        <f t="shared" si="0"/>
        <v>18-64</v>
      </c>
    </row>
    <row r="32" spans="1:6" x14ac:dyDescent="0.35">
      <c r="A32" s="1">
        <v>45964</v>
      </c>
      <c r="B32" t="s">
        <v>47</v>
      </c>
      <c r="C32">
        <v>76</v>
      </c>
      <c r="D32" t="s">
        <v>9</v>
      </c>
      <c r="E32" t="s">
        <v>29</v>
      </c>
      <c r="F32" t="str">
        <f t="shared" si="0"/>
        <v>65+</v>
      </c>
    </row>
    <row r="33" spans="1:6" x14ac:dyDescent="0.35">
      <c r="A33" s="1">
        <v>45964</v>
      </c>
      <c r="B33" t="s">
        <v>48</v>
      </c>
      <c r="C33">
        <v>3</v>
      </c>
      <c r="D33" t="s">
        <v>9</v>
      </c>
      <c r="E33" t="s">
        <v>49</v>
      </c>
      <c r="F33" t="str">
        <f t="shared" si="0"/>
        <v>0-5</v>
      </c>
    </row>
  </sheetData>
  <dataValidations count="1">
    <dataValidation type="list" allowBlank="1" showInputMessage="1" showErrorMessage="1" sqref="D1:D1048576" xr:uid="{40A4C59D-4EFD-41B6-A8C8-6F4FDC825C6A}">
      <formula1>"General, Immunization, ANC, Family planning"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2025-11-19T18:00:00Z</dcterms:created>
  <dcterms:modified xsi:type="dcterms:W3CDTF">2025-12-11T05:29:54Z</dcterms:modified>
</cp:coreProperties>
</file>